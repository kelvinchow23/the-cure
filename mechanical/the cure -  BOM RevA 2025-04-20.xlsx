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653" documentId="13_ncr:1_{6242A4EB-8520-4325-81C8-7EC8ECCF18D2}" xr6:coauthVersionLast="47" xr6:coauthVersionMax="47" xr10:uidLastSave="{D5E83031-87E2-4E50-8CAA-4ACDF6F4BC8D}"/>
  <bookViews>
    <workbookView xWindow="-120" yWindow="-16320" windowWidth="29040" windowHeight="15720" xr2:uid="{00000000-000D-0000-FFFF-FFFF00000000}"/>
  </bookViews>
  <sheets>
    <sheet name="the cure BOM" sheetId="1" r:id="rId1"/>
    <sheet name="revision his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7" i="1"/>
  <c r="H26" i="1"/>
  <c r="H41" i="1"/>
  <c r="H40" i="1"/>
  <c r="H39" i="1"/>
  <c r="H38" i="1"/>
  <c r="H37" i="1"/>
  <c r="H36" i="1"/>
  <c r="H29" i="1"/>
  <c r="H24" i="1"/>
  <c r="H23" i="1"/>
  <c r="H22" i="1"/>
  <c r="G28" i="1"/>
  <c r="H28" i="1" s="1"/>
  <c r="H21" i="1"/>
  <c r="H20" i="1"/>
  <c r="G17" i="1"/>
  <c r="H17" i="1" s="1"/>
  <c r="G16" i="1"/>
  <c r="H16" i="1" s="1"/>
  <c r="G15" i="1"/>
  <c r="H15" i="1" s="1"/>
  <c r="F18" i="1"/>
  <c r="G18" i="1" s="1"/>
  <c r="H18" i="1" s="1"/>
  <c r="F11" i="1"/>
  <c r="G11" i="1" s="1"/>
  <c r="F7" i="1"/>
  <c r="G7" i="1" s="1"/>
  <c r="F6" i="1"/>
  <c r="G6" i="1" s="1"/>
  <c r="H6" i="1" s="1"/>
  <c r="F5" i="1"/>
  <c r="G5" i="1" s="1"/>
  <c r="G14" i="1"/>
  <c r="H14" i="1" s="1"/>
  <c r="G12" i="1"/>
  <c r="H12" i="1" s="1"/>
  <c r="G10" i="1"/>
  <c r="H10" i="1" s="1"/>
  <c r="G9" i="1"/>
  <c r="H9" i="1" s="1"/>
  <c r="G13" i="1"/>
  <c r="G8" i="1"/>
  <c r="H5" i="1" l="1"/>
  <c r="H11" i="1"/>
  <c r="H13" i="1"/>
  <c r="H8" i="1"/>
  <c r="H7" i="1"/>
  <c r="H44" i="1" l="1"/>
</calcChain>
</file>

<file path=xl/sharedStrings.xml><?xml version="1.0" encoding="utf-8"?>
<sst xmlns="http://schemas.openxmlformats.org/spreadsheetml/2006/main" count="229" uniqueCount="163">
  <si>
    <t>Part Name</t>
  </si>
  <si>
    <t>Quantity</t>
  </si>
  <si>
    <t>Total Cost (CAD)</t>
  </si>
  <si>
    <t>Unit Cost (USD)</t>
  </si>
  <si>
    <t>Unit Cost (CAD)</t>
  </si>
  <si>
    <t>Purchased Parts</t>
  </si>
  <si>
    <t>Part Qty</t>
  </si>
  <si>
    <t>SUM</t>
  </si>
  <si>
    <t>#</t>
  </si>
  <si>
    <t>B1</t>
  </si>
  <si>
    <t>B2</t>
  </si>
  <si>
    <t>Date</t>
  </si>
  <si>
    <t>Change Description</t>
  </si>
  <si>
    <t>Revision</t>
  </si>
  <si>
    <t>Initial Release</t>
  </si>
  <si>
    <t>A</t>
  </si>
  <si>
    <t>3D printed parts</t>
  </si>
  <si>
    <t>tray</t>
  </si>
  <si>
    <t>actuator_bracket</t>
  </si>
  <si>
    <t>tray insert</t>
  </si>
  <si>
    <t>electronics mounting plate</t>
  </si>
  <si>
    <t>shield</t>
  </si>
  <si>
    <t>uv inner base</t>
  </si>
  <si>
    <t>back connector panel</t>
  </si>
  <si>
    <t>90272A053</t>
  </si>
  <si>
    <t>92095A179</t>
  </si>
  <si>
    <t>M3 BH screw, 6mm L, SS</t>
  </si>
  <si>
    <t>92095A188</t>
  </si>
  <si>
    <t>M4 BH screw, 6mm L, SS</t>
  </si>
  <si>
    <t>92125A130</t>
  </si>
  <si>
    <t>M3 FH screw, 10mm L, SS</t>
  </si>
  <si>
    <t>95783A001</t>
  </si>
  <si>
    <t>92095A182</t>
  </si>
  <si>
    <t>M3 BH screw, 10mm L, SS</t>
  </si>
  <si>
    <t>94095A110</t>
  </si>
  <si>
    <t>92125A126</t>
  </si>
  <si>
    <t>M3 FH screw, 6mm L, SS</t>
  </si>
  <si>
    <t>92125A136</t>
  </si>
  <si>
    <t>M3 FH screw, 20mm L, SS</t>
  </si>
  <si>
    <t>92095A190</t>
  </si>
  <si>
    <t>M4 BH screw, 10mm L, SS</t>
  </si>
  <si>
    <t>92095A125</t>
  </si>
  <si>
    <t>M4 BH screw, 15mm L, SS</t>
  </si>
  <si>
    <t>91082A110</t>
  </si>
  <si>
    <t>7566K104</t>
  </si>
  <si>
    <t>94205A230</t>
  </si>
  <si>
    <t>M4 locknut, 316 SS, nylon insert</t>
  </si>
  <si>
    <t>#8-32 BH screw, 5in L, steel</t>
  </si>
  <si>
    <t>M3 standoff, 10mm L, M-F, nylon</t>
  </si>
  <si>
    <t>M4 set screw, 6mm L, steel, nylon tip</t>
  </si>
  <si>
    <t>M4 to #8-32 thread adapter, 1.5in L, steel</t>
  </si>
  <si>
    <t>Cable tie mount, 19mm base, nylon</t>
  </si>
  <si>
    <t>B3</t>
  </si>
  <si>
    <t>B4</t>
  </si>
  <si>
    <t>B5</t>
  </si>
  <si>
    <t>B6</t>
  </si>
  <si>
    <t>B7</t>
  </si>
  <si>
    <t>B8</t>
  </si>
  <si>
    <t>B9</t>
  </si>
  <si>
    <t>B10</t>
  </si>
  <si>
    <t>ASA</t>
  </si>
  <si>
    <t>Material*</t>
  </si>
  <si>
    <t>PLA</t>
  </si>
  <si>
    <t>uv outer base</t>
  </si>
  <si>
    <t>uv base lid</t>
  </si>
  <si>
    <t>C1</t>
  </si>
  <si>
    <t>B11</t>
  </si>
  <si>
    <t>B12</t>
  </si>
  <si>
    <t>B13</t>
  </si>
  <si>
    <t>B14</t>
  </si>
  <si>
    <t>B15</t>
  </si>
  <si>
    <t>B16</t>
  </si>
  <si>
    <t>Vendor</t>
  </si>
  <si>
    <t>Vendor/Mfr Part #</t>
  </si>
  <si>
    <t>this is big, split if necessary</t>
  </si>
  <si>
    <t>12X M4 heat sets, 4X M3 heat sets</t>
  </si>
  <si>
    <t>print with any filament
5X M4 heat sets</t>
  </si>
  <si>
    <t>1X M4 heat sets, 2X M3 heat sets</t>
  </si>
  <si>
    <t>print with any filament
6X M3 heat sets</t>
  </si>
  <si>
    <t>4X M4 heat sets, 4X M3 heat sets</t>
  </si>
  <si>
    <t>Notes</t>
  </si>
  <si>
    <t>5/12V dual power supply</t>
  </si>
  <si>
    <t>B17</t>
  </si>
  <si>
    <t>B18</t>
  </si>
  <si>
    <t>B19</t>
  </si>
  <si>
    <t>B20</t>
  </si>
  <si>
    <t>B21</t>
  </si>
  <si>
    <t>B22</t>
  </si>
  <si>
    <t>Amazon</t>
  </si>
  <si>
    <t>Digikey</t>
  </si>
  <si>
    <t>Actuonix</t>
  </si>
  <si>
    <t>B23</t>
  </si>
  <si>
    <t>1866-3983-ND</t>
  </si>
  <si>
    <t>Power entry connector, C14, Panel mount</t>
  </si>
  <si>
    <t>B08635F9CX</t>
  </si>
  <si>
    <t>UV flood lamp, 365nm, 50W</t>
  </si>
  <si>
    <t>-</t>
  </si>
  <si>
    <t>B08VD84GV9</t>
  </si>
  <si>
    <t>Drawer slides, 8in, pair</t>
  </si>
  <si>
    <t>https://www.amazon.ca/Everbeam-365nm-50W-Black-Light/dp/B08635F9CX/?th=1</t>
  </si>
  <si>
    <t>https://www.amazon.ca/Laigoo-Extension-Bearing-Cabinet-Drawers/dp/B08VD84GV9/ref=sr_1_6?dib=eyJ2IjoiMSJ9.nQG8oI-152SfT57RQH0H5jcLuv8DIYXBgrzq0450VMZBLauPGWkfSMWimJzwGS2uMFOg2tOPTRfFi-5PXWzTDvJqW6gfrc387_nfIwP3Uesiv61Im_nG2B6az50s2FUCO7-dOecMH3keqmT_VF4YHKi9vve0LhpVq4otpRCkFbBEK66sHDnBPQEAef0WPOyQX0G7iUybHWzG9YvKP6Kx7BV0K9rJdM5mkp7QLfJe1YIuEeAVAuPU_W1vJKk0JE6I7jtvLSWCw0RGWHnXcoM1bYjMV3Bg5PMjPhKAhEwYhdM.TpfZhYrVvsOsZuMyfnV-AHUJp27n6kWYJB-VvgVHNIA&amp;dib_tag=se&amp;keywords=drawer%2Bslides%2B8%2Binch&amp;qid=1744813807&amp;sr=8-6&amp;th=1</t>
  </si>
  <si>
    <t>486-1963-ND</t>
  </si>
  <si>
    <t>Linear actuators, L-16-S, 63:1, 100mm stroke</t>
  </si>
  <si>
    <t>L16-100-63-12-S</t>
  </si>
  <si>
    <t>1528-1786-ND</t>
  </si>
  <si>
    <t>USB-micro B cable, panel mount, 1ft</t>
  </si>
  <si>
    <t>included with Actuonix actuator</t>
  </si>
  <si>
    <t>Actuator mounting bracket</t>
  </si>
  <si>
    <t>cable ties</t>
  </si>
  <si>
    <t>A/R</t>
  </si>
  <si>
    <t>2162-AL-04-18-9-M-ND</t>
  </si>
  <si>
    <t>McMaster Carr</t>
  </si>
  <si>
    <t>electronics control board</t>
  </si>
  <si>
    <t>Custom Parts</t>
  </si>
  <si>
    <t>Electronics</t>
  </si>
  <si>
    <t>B24</t>
  </si>
  <si>
    <t>B25</t>
  </si>
  <si>
    <t>threadlocker, medium strength</t>
  </si>
  <si>
    <t>91458A112</t>
  </si>
  <si>
    <t>B26</t>
  </si>
  <si>
    <t>B27</t>
  </si>
  <si>
    <t>B28</t>
  </si>
  <si>
    <t>B29</t>
  </si>
  <si>
    <t>B30</t>
  </si>
  <si>
    <t>1528-1960-ND</t>
  </si>
  <si>
    <t>1175-800-1809-2-SJT0-BL-00200-1-ND</t>
  </si>
  <si>
    <t>power cord, 18 AWG, C-13 to bare leads, 2m</t>
  </si>
  <si>
    <t>connector, faston, .25in width, 18-22 AWG</t>
  </si>
  <si>
    <t>connector, spade, #6 stud, 16-22 AWG</t>
  </si>
  <si>
    <t>connector, spade, #6 stud, 22-26 AWG</t>
  </si>
  <si>
    <t>couldn't find a 28 AWG connector, soldered the wire to this connector</t>
  </si>
  <si>
    <t>A27435-ND</t>
  </si>
  <si>
    <t>A1063-ND</t>
  </si>
  <si>
    <t>WM18764-ND</t>
  </si>
  <si>
    <t>connector, wago, 2 position, 12-24 AWG</t>
  </si>
  <si>
    <t>2946-221-412-ND</t>
  </si>
  <si>
    <t>B31</t>
  </si>
  <si>
    <t>need 3 jumpers</t>
  </si>
  <si>
    <t>*ASA is more UV resistant. Non ASA parts can be printed in anything</t>
  </si>
  <si>
    <t>For custom cables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</si>
  <si>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</si>
  <si>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</si>
  <si>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</si>
  <si>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</si>
  <si>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</si>
  <si>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</si>
  <si>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</si>
  <si>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</si>
  <si>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</si>
  <si>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the cure BOM</t>
  </si>
  <si>
    <t>Refer to the documentation in the electrical folder for BOM, build, and test instructions</t>
  </si>
  <si>
    <t>2254-M30X170C-ND</t>
  </si>
  <si>
    <t>5519-TH-M40-SV-ND</t>
  </si>
  <si>
    <t>M3 heat set inserts</t>
  </si>
  <si>
    <t>M4 heat set inserts</t>
  </si>
  <si>
    <t>B32</t>
  </si>
  <si>
    <t>B33</t>
  </si>
  <si>
    <t>jumper wires, F-F, 12in L, 20 pack</t>
  </si>
  <si>
    <t>Cable, power, 5-15P to C13, 1m</t>
  </si>
  <si>
    <t>839-1187-ND</t>
  </si>
  <si>
    <t>Double sided tape</t>
  </si>
  <si>
    <t>https://www.amazon.ca/Gorilla-Tape-6065001-Mounting-Clear/dp/B00OXVG9FW/ref=sr_1_7?dib=eyJ2IjoiMSJ9.Yvtp7uKLhOhYJnee_0Y7y89nNJLNgAuZm6kJWH458Ay1rBxSHd0XKajGC7VAEmQa7y3cHigcfh2Bs5Fj4JMBUkt6wMsnbHqjpBc0dBaB2f4wZ-TBYurc2NbFL6H4aB4h471Nb7Qm9oMxWQ8ciKublXOQDmbQKeCx20H8dn4-GENKzXNKsMI9iE4f-6j9BJyrgss9Zlsp-gEPPKsiI36hjWwO6C8Z3_gfC7ufPws9Y5G7B43e3TUA6KRvrp_-9VlYPaonGN33NH5O9vdAfyutzPvknwS-bxb-Yyy4HLToyM8.tEDRaabxBz6zoAbFk6g_t9nDqzJa4ED4LJpw7JwjM1M&amp;dib_tag=se&amp;keywords=double%2Bsided%2Btape&amp;qid=1745130361&amp;sr=8-7&amp;th=1</t>
  </si>
  <si>
    <t>B00OXVG9FW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</si>
</sst>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8"/>
      <name val="Calibri"/>
      <family val="2"/>
      <scheme val="minor"/>
    </font>
    <font>
      <sz val="12"/>
      <name val="Calibri"/>
      <family val="2"/>
    </font>
    <font>
      <b/>
      <sz val="15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9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14" fontId="0" fillId="0" borderId="0" xfId="0" applyNumberFormat="1"/>
    <xf numFmtId="0" fontId="8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4" fontId="2" fillId="0" borderId="0" xfId="1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A618CEE1-BC1B-43A1-8493-C4F31722B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12" workbookViewId="0">
      <selection activeCell="B32" sqref="B32"/>
    </sheetView>
  </sheetViews>
  <sheetFormatPr defaultRowHeight="15.6" x14ac:dyDescent="0.3"/>
  <cols>
    <col min="1" max="1" width="5" style="1" customWidth="1"/>
    <col min="2" max="2" width="48.44140625" style="1" bestFit="1" customWidth="1"/>
    <col min="3" max="3" width="9.44140625" style="8" bestFit="1" customWidth="1"/>
    <col min="4" max="4" width="14.77734375" style="8" bestFit="1" customWidth="1"/>
    <col min="5" max="5" width="35.77734375" style="8" bestFit="1" customWidth="1"/>
    <col min="6" max="6" width="21.88671875" style="9" customWidth="1"/>
    <col min="7" max="7" width="15.6640625" style="9" bestFit="1" customWidth="1"/>
    <col min="8" max="8" width="16.44140625" style="9" bestFit="1" customWidth="1"/>
    <col min="9" max="9" width="61.77734375" customWidth="1"/>
  </cols>
  <sheetData>
    <row r="1" spans="1:9" x14ac:dyDescent="0.3">
      <c r="A1" s="1" t="s">
        <v>149</v>
      </c>
    </row>
    <row r="3" spans="1:9" ht="21" x14ac:dyDescent="0.4">
      <c r="A3" s="4" t="s">
        <v>5</v>
      </c>
    </row>
    <row r="4" spans="1:9" x14ac:dyDescent="0.3">
      <c r="A4" s="2" t="s">
        <v>8</v>
      </c>
      <c r="B4" s="1" t="s">
        <v>0</v>
      </c>
      <c r="C4" s="8" t="s">
        <v>1</v>
      </c>
      <c r="D4" s="10" t="s">
        <v>72</v>
      </c>
      <c r="E4" s="10" t="s">
        <v>73</v>
      </c>
      <c r="F4" s="8" t="s">
        <v>3</v>
      </c>
      <c r="G4" s="8" t="s">
        <v>4</v>
      </c>
      <c r="H4" s="8" t="s">
        <v>2</v>
      </c>
      <c r="I4" s="2" t="s">
        <v>80</v>
      </c>
    </row>
    <row r="5" spans="1:9" x14ac:dyDescent="0.3">
      <c r="A5" s="3" t="s">
        <v>9</v>
      </c>
      <c r="B5" s="3" t="s">
        <v>47</v>
      </c>
      <c r="C5" s="11">
        <v>1</v>
      </c>
      <c r="D5" s="11" t="s">
        <v>111</v>
      </c>
      <c r="E5" s="11" t="s">
        <v>24</v>
      </c>
      <c r="F5" s="12">
        <f>10.5/10</f>
        <v>1.05</v>
      </c>
      <c r="G5" s="12">
        <f>F5*1.44</f>
        <v>1.512</v>
      </c>
      <c r="H5" s="12">
        <f>G5*C5</f>
        <v>1.512</v>
      </c>
    </row>
    <row r="6" spans="1:9" x14ac:dyDescent="0.3">
      <c r="A6" s="3" t="s">
        <v>10</v>
      </c>
      <c r="B6" s="3" t="s">
        <v>26</v>
      </c>
      <c r="C6" s="11">
        <v>4</v>
      </c>
      <c r="D6" s="11" t="s">
        <v>111</v>
      </c>
      <c r="E6" s="11" t="s">
        <v>25</v>
      </c>
      <c r="F6" s="12">
        <f>5.83/100</f>
        <v>5.8299999999999998E-2</v>
      </c>
      <c r="G6" s="12">
        <f t="shared" ref="G6:G14" si="0">F6*1.44</f>
        <v>8.3951999999999999E-2</v>
      </c>
      <c r="H6" s="12">
        <f t="shared" ref="H6:H18" si="1">G6*C6</f>
        <v>0.335808</v>
      </c>
    </row>
    <row r="7" spans="1:9" x14ac:dyDescent="0.3">
      <c r="A7" s="3" t="s">
        <v>52</v>
      </c>
      <c r="B7" s="3" t="s">
        <v>28</v>
      </c>
      <c r="C7" s="11">
        <v>18</v>
      </c>
      <c r="D7" s="11" t="s">
        <v>111</v>
      </c>
      <c r="E7" s="11" t="s">
        <v>27</v>
      </c>
      <c r="F7" s="12">
        <f>12.11/100</f>
        <v>0.1211</v>
      </c>
      <c r="G7" s="12">
        <f t="shared" si="0"/>
        <v>0.17438399999999998</v>
      </c>
      <c r="H7" s="12">
        <f t="shared" si="1"/>
        <v>3.1389119999999995</v>
      </c>
    </row>
    <row r="8" spans="1:9" x14ac:dyDescent="0.3">
      <c r="A8" s="3" t="s">
        <v>53</v>
      </c>
      <c r="B8" s="3" t="s">
        <v>30</v>
      </c>
      <c r="C8" s="11">
        <v>6</v>
      </c>
      <c r="D8" s="11" t="s">
        <v>111</v>
      </c>
      <c r="E8" s="11" t="s">
        <v>29</v>
      </c>
      <c r="F8" s="12">
        <v>7.3099999999999998E-2</v>
      </c>
      <c r="G8" s="12">
        <f t="shared" si="0"/>
        <v>0.105264</v>
      </c>
      <c r="H8" s="12">
        <f t="shared" si="1"/>
        <v>0.63158399999999992</v>
      </c>
    </row>
    <row r="9" spans="1:9" x14ac:dyDescent="0.3">
      <c r="A9" s="3" t="s">
        <v>54</v>
      </c>
      <c r="B9" s="3" t="s">
        <v>48</v>
      </c>
      <c r="C9" s="11">
        <v>8</v>
      </c>
      <c r="D9" s="11" t="s">
        <v>111</v>
      </c>
      <c r="E9" s="11" t="s">
        <v>31</v>
      </c>
      <c r="F9" s="12">
        <v>2.4900000000000002</v>
      </c>
      <c r="G9" s="12">
        <f t="shared" si="0"/>
        <v>3.5856000000000003</v>
      </c>
      <c r="H9" s="12">
        <f t="shared" si="1"/>
        <v>28.684800000000003</v>
      </c>
    </row>
    <row r="10" spans="1:9" x14ac:dyDescent="0.3">
      <c r="A10" s="3" t="s">
        <v>55</v>
      </c>
      <c r="B10" s="5" t="s">
        <v>33</v>
      </c>
      <c r="C10" s="11">
        <v>2</v>
      </c>
      <c r="D10" s="11" t="s">
        <v>111</v>
      </c>
      <c r="E10" s="11" t="s">
        <v>32</v>
      </c>
      <c r="F10" s="12">
        <v>7.1900000000000006E-2</v>
      </c>
      <c r="G10" s="12">
        <f t="shared" si="0"/>
        <v>0.103536</v>
      </c>
      <c r="H10" s="12">
        <f t="shared" si="1"/>
        <v>0.20707200000000001</v>
      </c>
    </row>
    <row r="11" spans="1:9" x14ac:dyDescent="0.3">
      <c r="A11" s="3" t="s">
        <v>56</v>
      </c>
      <c r="B11" s="3" t="s">
        <v>49</v>
      </c>
      <c r="C11" s="11">
        <v>4</v>
      </c>
      <c r="D11" s="11" t="s">
        <v>111</v>
      </c>
      <c r="E11" s="11" t="s">
        <v>34</v>
      </c>
      <c r="F11" s="12">
        <f>8.6/5</f>
        <v>1.72</v>
      </c>
      <c r="G11" s="12">
        <f t="shared" si="0"/>
        <v>2.4767999999999999</v>
      </c>
      <c r="H11" s="12">
        <f t="shared" si="1"/>
        <v>9.9071999999999996</v>
      </c>
    </row>
    <row r="12" spans="1:9" x14ac:dyDescent="0.3">
      <c r="A12" s="3" t="s">
        <v>57</v>
      </c>
      <c r="B12" s="3" t="s">
        <v>36</v>
      </c>
      <c r="C12" s="11">
        <v>2</v>
      </c>
      <c r="D12" s="11" t="s">
        <v>111</v>
      </c>
      <c r="E12" s="11" t="s">
        <v>35</v>
      </c>
      <c r="F12" s="12">
        <v>6.2300000000000001E-2</v>
      </c>
      <c r="G12" s="12">
        <f t="shared" si="0"/>
        <v>8.9712E-2</v>
      </c>
      <c r="H12" s="12">
        <f t="shared" si="1"/>
        <v>0.179424</v>
      </c>
    </row>
    <row r="13" spans="1:9" x14ac:dyDescent="0.3">
      <c r="A13" s="3" t="s">
        <v>58</v>
      </c>
      <c r="B13" s="3" t="s">
        <v>38</v>
      </c>
      <c r="C13" s="11">
        <v>4</v>
      </c>
      <c r="D13" s="11" t="s">
        <v>111</v>
      </c>
      <c r="E13" s="11" t="s">
        <v>37</v>
      </c>
      <c r="F13" s="12">
        <v>0.12859999999999999</v>
      </c>
      <c r="G13" s="12">
        <f t="shared" si="0"/>
        <v>0.18518399999999999</v>
      </c>
      <c r="H13" s="12">
        <f t="shared" si="1"/>
        <v>0.74073599999999995</v>
      </c>
    </row>
    <row r="14" spans="1:9" x14ac:dyDescent="0.3">
      <c r="A14" s="3" t="s">
        <v>59</v>
      </c>
      <c r="B14" s="3" t="s">
        <v>40</v>
      </c>
      <c r="C14" s="11">
        <v>4</v>
      </c>
      <c r="D14" s="11" t="s">
        <v>111</v>
      </c>
      <c r="E14" s="11" t="s">
        <v>39</v>
      </c>
      <c r="F14" s="12">
        <v>9.4399999999999998E-2</v>
      </c>
      <c r="G14" s="12">
        <f t="shared" si="0"/>
        <v>0.135936</v>
      </c>
      <c r="H14" s="12">
        <f t="shared" si="1"/>
        <v>0.54374400000000001</v>
      </c>
    </row>
    <row r="15" spans="1:9" x14ac:dyDescent="0.3">
      <c r="A15" s="3" t="s">
        <v>66</v>
      </c>
      <c r="B15" s="3" t="s">
        <v>42</v>
      </c>
      <c r="C15" s="11">
        <v>1</v>
      </c>
      <c r="D15" s="11" t="s">
        <v>111</v>
      </c>
      <c r="E15" s="11" t="s">
        <v>41</v>
      </c>
      <c r="F15" s="12">
        <v>8.7599999999999997E-2</v>
      </c>
      <c r="G15" s="12">
        <f t="shared" ref="G15:G18" si="2">F15*1.44</f>
        <v>0.12614399999999998</v>
      </c>
      <c r="H15" s="12">
        <f t="shared" si="1"/>
        <v>0.12614399999999998</v>
      </c>
    </row>
    <row r="16" spans="1:9" x14ac:dyDescent="0.3">
      <c r="A16" s="3" t="s">
        <v>67</v>
      </c>
      <c r="B16" s="3" t="s">
        <v>50</v>
      </c>
      <c r="C16" s="11">
        <v>1</v>
      </c>
      <c r="D16" s="11" t="s">
        <v>111</v>
      </c>
      <c r="E16" s="11" t="s">
        <v>43</v>
      </c>
      <c r="F16" s="12">
        <v>11.57</v>
      </c>
      <c r="G16" s="12">
        <f t="shared" si="2"/>
        <v>16.660799999999998</v>
      </c>
      <c r="H16" s="12">
        <f t="shared" si="1"/>
        <v>16.660799999999998</v>
      </c>
    </row>
    <row r="17" spans="1:9" x14ac:dyDescent="0.3">
      <c r="A17" s="3" t="s">
        <v>68</v>
      </c>
      <c r="B17" s="3" t="s">
        <v>51</v>
      </c>
      <c r="C17" s="11">
        <v>1</v>
      </c>
      <c r="D17" s="11" t="s">
        <v>111</v>
      </c>
      <c r="E17" s="11" t="s">
        <v>44</v>
      </c>
      <c r="F17" s="12">
        <v>8.43E-2</v>
      </c>
      <c r="G17" s="12">
        <f t="shared" si="2"/>
        <v>0.121392</v>
      </c>
      <c r="H17" s="12">
        <f t="shared" si="1"/>
        <v>0.121392</v>
      </c>
    </row>
    <row r="18" spans="1:9" x14ac:dyDescent="0.3">
      <c r="A18" s="3" t="s">
        <v>69</v>
      </c>
      <c r="B18" s="3" t="s">
        <v>46</v>
      </c>
      <c r="C18" s="11">
        <v>1</v>
      </c>
      <c r="D18" s="11" t="s">
        <v>111</v>
      </c>
      <c r="E18" s="11" t="s">
        <v>45</v>
      </c>
      <c r="F18" s="12">
        <f>7.36/50</f>
        <v>0.1472</v>
      </c>
      <c r="G18" s="12">
        <f t="shared" si="2"/>
        <v>0.21196799999999999</v>
      </c>
      <c r="H18" s="12">
        <f t="shared" si="1"/>
        <v>0.21196799999999999</v>
      </c>
    </row>
    <row r="19" spans="1:9" x14ac:dyDescent="0.3">
      <c r="A19" s="3" t="s">
        <v>70</v>
      </c>
      <c r="B19" s="3" t="s">
        <v>117</v>
      </c>
      <c r="C19" s="11" t="s">
        <v>109</v>
      </c>
      <c r="D19" s="11" t="s">
        <v>111</v>
      </c>
      <c r="E19" s="11" t="s">
        <v>118</v>
      </c>
      <c r="F19" s="12">
        <v>0</v>
      </c>
      <c r="G19" s="12">
        <v>0</v>
      </c>
      <c r="H19" s="12">
        <v>0</v>
      </c>
    </row>
    <row r="20" spans="1:9" x14ac:dyDescent="0.3">
      <c r="A20" s="3" t="s">
        <v>71</v>
      </c>
      <c r="B20" s="3" t="s">
        <v>95</v>
      </c>
      <c r="C20" s="11">
        <v>1</v>
      </c>
      <c r="D20" s="11" t="s">
        <v>88</v>
      </c>
      <c r="E20" s="11" t="s">
        <v>94</v>
      </c>
      <c r="F20" s="12">
        <v>0</v>
      </c>
      <c r="G20" s="12">
        <v>59.99</v>
      </c>
      <c r="H20" s="12">
        <f>G20*C20</f>
        <v>59.99</v>
      </c>
      <c r="I20" t="s">
        <v>99</v>
      </c>
    </row>
    <row r="21" spans="1:9" x14ac:dyDescent="0.3">
      <c r="A21" s="3" t="s">
        <v>82</v>
      </c>
      <c r="B21" s="3" t="s">
        <v>98</v>
      </c>
      <c r="C21" s="11">
        <v>1</v>
      </c>
      <c r="D21" s="11" t="s">
        <v>88</v>
      </c>
      <c r="E21" s="11" t="s">
        <v>97</v>
      </c>
      <c r="F21" s="12">
        <v>0</v>
      </c>
      <c r="G21" s="12">
        <v>14.99</v>
      </c>
      <c r="H21" s="12">
        <f>G21*C21</f>
        <v>14.99</v>
      </c>
      <c r="I21" t="s">
        <v>100</v>
      </c>
    </row>
    <row r="22" spans="1:9" x14ac:dyDescent="0.3">
      <c r="A22" s="3" t="s">
        <v>83</v>
      </c>
      <c r="B22" s="3" t="s">
        <v>81</v>
      </c>
      <c r="C22" s="11">
        <v>1</v>
      </c>
      <c r="D22" s="11" t="s">
        <v>89</v>
      </c>
      <c r="E22" s="11" t="s">
        <v>92</v>
      </c>
      <c r="F22" s="12">
        <v>0</v>
      </c>
      <c r="G22" s="12">
        <v>16.89</v>
      </c>
      <c r="H22" s="12">
        <f>G22*C22</f>
        <v>16.89</v>
      </c>
    </row>
    <row r="23" spans="1:9" x14ac:dyDescent="0.3">
      <c r="A23" s="3" t="s">
        <v>84</v>
      </c>
      <c r="B23" s="3" t="s">
        <v>105</v>
      </c>
      <c r="C23" s="11">
        <v>1</v>
      </c>
      <c r="D23" s="11" t="s">
        <v>89</v>
      </c>
      <c r="E23" s="11" t="s">
        <v>104</v>
      </c>
      <c r="F23" s="12">
        <v>0</v>
      </c>
      <c r="G23" s="12">
        <v>4.95</v>
      </c>
      <c r="H23" s="12">
        <f>G23*C23</f>
        <v>4.95</v>
      </c>
    </row>
    <row r="24" spans="1:9" x14ac:dyDescent="0.3">
      <c r="A24" s="3" t="s">
        <v>85</v>
      </c>
      <c r="B24" s="3" t="s">
        <v>93</v>
      </c>
      <c r="C24" s="11">
        <v>1</v>
      </c>
      <c r="D24" s="11" t="s">
        <v>89</v>
      </c>
      <c r="E24" s="11" t="s">
        <v>101</v>
      </c>
      <c r="F24" s="12">
        <v>0</v>
      </c>
      <c r="G24" s="12">
        <v>10.47</v>
      </c>
      <c r="H24" s="12">
        <f>G24*C24</f>
        <v>10.47</v>
      </c>
    </row>
    <row r="25" spans="1:9" x14ac:dyDescent="0.3">
      <c r="A25" s="3" t="s">
        <v>86</v>
      </c>
      <c r="B25" s="3" t="s">
        <v>108</v>
      </c>
      <c r="C25" s="11" t="s">
        <v>109</v>
      </c>
      <c r="D25" s="11" t="s">
        <v>89</v>
      </c>
      <c r="E25" s="11" t="s">
        <v>110</v>
      </c>
      <c r="F25" s="12">
        <v>0</v>
      </c>
      <c r="G25" s="12">
        <v>0</v>
      </c>
      <c r="H25" s="12">
        <v>0</v>
      </c>
    </row>
    <row r="26" spans="1:9" x14ac:dyDescent="0.3">
      <c r="A26" s="3" t="s">
        <v>87</v>
      </c>
      <c r="B26" s="3" t="s">
        <v>153</v>
      </c>
      <c r="C26" s="11">
        <v>20</v>
      </c>
      <c r="D26" s="11" t="s">
        <v>89</v>
      </c>
      <c r="E26" s="11" t="s">
        <v>151</v>
      </c>
      <c r="F26" s="12">
        <v>0</v>
      </c>
      <c r="G26" s="12">
        <v>0.34</v>
      </c>
      <c r="H26" s="12">
        <f>G26*C26</f>
        <v>6.8000000000000007</v>
      </c>
    </row>
    <row r="27" spans="1:9" x14ac:dyDescent="0.3">
      <c r="A27" s="3" t="s">
        <v>91</v>
      </c>
      <c r="B27" s="3" t="s">
        <v>154</v>
      </c>
      <c r="C27" s="11">
        <v>22</v>
      </c>
      <c r="D27" s="11" t="s">
        <v>89</v>
      </c>
      <c r="E27" s="11" t="s">
        <v>152</v>
      </c>
      <c r="F27" s="12">
        <v>0</v>
      </c>
      <c r="G27" s="12">
        <v>0.16</v>
      </c>
      <c r="H27" s="12">
        <f>G27*C27</f>
        <v>3.52</v>
      </c>
    </row>
    <row r="28" spans="1:9" x14ac:dyDescent="0.3">
      <c r="A28" s="3" t="s">
        <v>115</v>
      </c>
      <c r="B28" s="3" t="s">
        <v>102</v>
      </c>
      <c r="C28" s="11">
        <v>2</v>
      </c>
      <c r="D28" s="11" t="s">
        <v>90</v>
      </c>
      <c r="E28" s="11" t="s">
        <v>103</v>
      </c>
      <c r="F28" s="12">
        <v>70</v>
      </c>
      <c r="G28" s="12">
        <f t="shared" ref="G28" si="3">F28*1.44</f>
        <v>100.8</v>
      </c>
      <c r="H28" s="12">
        <f>G28*C28</f>
        <v>201.6</v>
      </c>
    </row>
    <row r="29" spans="1:9" x14ac:dyDescent="0.3">
      <c r="A29" s="3" t="s">
        <v>116</v>
      </c>
      <c r="B29" s="3" t="s">
        <v>107</v>
      </c>
      <c r="C29" s="11">
        <v>1</v>
      </c>
      <c r="D29" s="11" t="s">
        <v>90</v>
      </c>
      <c r="E29" s="11" t="s">
        <v>96</v>
      </c>
      <c r="F29" s="17">
        <v>0</v>
      </c>
      <c r="G29" s="17">
        <v>0</v>
      </c>
      <c r="H29" s="17">
        <f>G29*C29</f>
        <v>0</v>
      </c>
      <c r="I29" s="18" t="s">
        <v>106</v>
      </c>
    </row>
    <row r="30" spans="1:9" x14ac:dyDescent="0.3">
      <c r="A30" s="3" t="s">
        <v>119</v>
      </c>
      <c r="B30" s="3" t="s">
        <v>158</v>
      </c>
      <c r="C30" s="11">
        <v>1</v>
      </c>
      <c r="D30" s="11" t="s">
        <v>89</v>
      </c>
      <c r="E30" s="11" t="s">
        <v>159</v>
      </c>
      <c r="F30" s="17">
        <v>0</v>
      </c>
      <c r="G30" s="17">
        <v>4.1100000000000003</v>
      </c>
      <c r="H30" s="17">
        <f>G30*C30</f>
        <v>4.1100000000000003</v>
      </c>
      <c r="I30" s="18"/>
    </row>
    <row r="31" spans="1:9" x14ac:dyDescent="0.3">
      <c r="A31" s="3" t="s">
        <v>120</v>
      </c>
      <c r="B31" s="3" t="s">
        <v>160</v>
      </c>
      <c r="C31" s="11" t="s">
        <v>109</v>
      </c>
      <c r="D31" s="11" t="s">
        <v>88</v>
      </c>
      <c r="E31" s="11" t="s">
        <v>162</v>
      </c>
      <c r="F31" s="12">
        <v>0</v>
      </c>
      <c r="G31" s="12">
        <v>0</v>
      </c>
      <c r="H31" s="12">
        <v>0</v>
      </c>
      <c r="I31" s="18" t="s">
        <v>161</v>
      </c>
    </row>
    <row r="32" spans="1:9" x14ac:dyDescent="0.3">
      <c r="A32" s="3"/>
      <c r="B32" s="3"/>
      <c r="C32" s="11"/>
      <c r="D32" s="11"/>
      <c r="E32" s="11"/>
      <c r="F32" s="19"/>
      <c r="G32" s="19"/>
      <c r="H32" s="19"/>
      <c r="I32" s="18"/>
    </row>
    <row r="34" spans="1:9" x14ac:dyDescent="0.3">
      <c r="A34" s="2" t="s">
        <v>139</v>
      </c>
      <c r="B34" s="3"/>
      <c r="C34" s="11"/>
      <c r="D34" s="11"/>
      <c r="E34" s="11"/>
      <c r="F34" s="12"/>
      <c r="G34" s="12"/>
      <c r="H34" s="12"/>
    </row>
    <row r="35" spans="1:9" x14ac:dyDescent="0.3">
      <c r="A35" s="2" t="s">
        <v>8</v>
      </c>
      <c r="B35" s="1" t="s">
        <v>0</v>
      </c>
      <c r="C35" s="8" t="s">
        <v>1</v>
      </c>
      <c r="D35" s="10" t="s">
        <v>72</v>
      </c>
      <c r="E35" s="10" t="s">
        <v>73</v>
      </c>
      <c r="F35" s="8" t="s">
        <v>3</v>
      </c>
      <c r="G35" s="8" t="s">
        <v>4</v>
      </c>
      <c r="H35" s="8" t="s">
        <v>2</v>
      </c>
      <c r="I35" s="2" t="s">
        <v>80</v>
      </c>
    </row>
    <row r="36" spans="1:9" x14ac:dyDescent="0.3">
      <c r="A36" s="3" t="s">
        <v>121</v>
      </c>
      <c r="B36" s="3" t="s">
        <v>157</v>
      </c>
      <c r="C36" s="11">
        <v>1</v>
      </c>
      <c r="D36" s="11" t="s">
        <v>89</v>
      </c>
      <c r="E36" s="11" t="s">
        <v>124</v>
      </c>
      <c r="F36" s="12">
        <v>0</v>
      </c>
      <c r="G36" s="12">
        <v>3.95</v>
      </c>
      <c r="H36" s="12">
        <f>G36*C36</f>
        <v>3.95</v>
      </c>
      <c r="I36" t="s">
        <v>137</v>
      </c>
    </row>
    <row r="37" spans="1:9" x14ac:dyDescent="0.3">
      <c r="A37" s="3" t="s">
        <v>122</v>
      </c>
      <c r="B37" s="3" t="s">
        <v>126</v>
      </c>
      <c r="C37" s="11">
        <v>1</v>
      </c>
      <c r="D37" s="11" t="s">
        <v>89</v>
      </c>
      <c r="E37" s="11" t="s">
        <v>125</v>
      </c>
      <c r="F37" s="12">
        <v>0</v>
      </c>
      <c r="G37" s="12">
        <v>5.42</v>
      </c>
      <c r="H37" s="12">
        <f t="shared" ref="H37:H41" si="4">G37*C37</f>
        <v>5.42</v>
      </c>
    </row>
    <row r="38" spans="1:9" x14ac:dyDescent="0.3">
      <c r="A38" s="3" t="s">
        <v>123</v>
      </c>
      <c r="B38" s="3" t="s">
        <v>129</v>
      </c>
      <c r="C38" s="11">
        <v>3</v>
      </c>
      <c r="D38" s="11" t="s">
        <v>89</v>
      </c>
      <c r="E38" s="11" t="s">
        <v>131</v>
      </c>
      <c r="F38" s="12">
        <v>0</v>
      </c>
      <c r="G38" s="12">
        <v>0.67</v>
      </c>
      <c r="H38" s="12">
        <f t="shared" si="4"/>
        <v>2.0100000000000002</v>
      </c>
      <c r="I38" t="s">
        <v>130</v>
      </c>
    </row>
    <row r="39" spans="1:9" x14ac:dyDescent="0.3">
      <c r="A39" s="3" t="s">
        <v>136</v>
      </c>
      <c r="B39" s="3" t="s">
        <v>128</v>
      </c>
      <c r="C39" s="11">
        <v>6</v>
      </c>
      <c r="D39" s="11" t="s">
        <v>89</v>
      </c>
      <c r="E39" s="11" t="s">
        <v>132</v>
      </c>
      <c r="F39" s="12">
        <v>0</v>
      </c>
      <c r="G39" s="12">
        <v>0.35</v>
      </c>
      <c r="H39" s="12">
        <f t="shared" si="4"/>
        <v>2.0999999999999996</v>
      </c>
    </row>
    <row r="40" spans="1:9" x14ac:dyDescent="0.3">
      <c r="A40" s="3" t="s">
        <v>155</v>
      </c>
      <c r="B40" s="3" t="s">
        <v>127</v>
      </c>
      <c r="C40" s="11">
        <v>3</v>
      </c>
      <c r="D40" s="11" t="s">
        <v>89</v>
      </c>
      <c r="E40" s="11" t="s">
        <v>133</v>
      </c>
      <c r="F40" s="12">
        <v>0</v>
      </c>
      <c r="G40" s="12">
        <v>0.24</v>
      </c>
      <c r="H40" s="12">
        <f t="shared" si="4"/>
        <v>0.72</v>
      </c>
    </row>
    <row r="41" spans="1:9" x14ac:dyDescent="0.3">
      <c r="A41" s="3" t="s">
        <v>156</v>
      </c>
      <c r="B41" s="3" t="s">
        <v>134</v>
      </c>
      <c r="C41" s="11">
        <v>1</v>
      </c>
      <c r="D41" s="11" t="s">
        <v>89</v>
      </c>
      <c r="E41" s="11" t="s">
        <v>135</v>
      </c>
      <c r="F41" s="12">
        <v>0</v>
      </c>
      <c r="G41" s="12">
        <v>0.54</v>
      </c>
      <c r="H41" s="12">
        <f t="shared" si="4"/>
        <v>0.54</v>
      </c>
    </row>
    <row r="44" spans="1:9" ht="19.8" x14ac:dyDescent="0.3">
      <c r="G44" s="13" t="s">
        <v>7</v>
      </c>
      <c r="H44" s="14">
        <f>SUM(H5:H41)</f>
        <v>401.0615840000001</v>
      </c>
    </row>
    <row r="45" spans="1:9" ht="21" x14ac:dyDescent="0.4">
      <c r="A45" s="4" t="s">
        <v>113</v>
      </c>
    </row>
    <row r="46" spans="1:9" x14ac:dyDescent="0.3">
      <c r="A46" s="2" t="s">
        <v>16</v>
      </c>
    </row>
    <row r="47" spans="1:9" x14ac:dyDescent="0.3">
      <c r="A47" s="2" t="s">
        <v>8</v>
      </c>
      <c r="B47" s="2" t="s">
        <v>0</v>
      </c>
      <c r="C47" s="10" t="s">
        <v>6</v>
      </c>
      <c r="D47" s="10" t="s">
        <v>13</v>
      </c>
      <c r="E47" s="10" t="s">
        <v>61</v>
      </c>
      <c r="G47" s="10"/>
      <c r="H47" s="15"/>
      <c r="I47" s="2" t="s">
        <v>80</v>
      </c>
    </row>
    <row r="48" spans="1:9" x14ac:dyDescent="0.3">
      <c r="A48" s="3" t="s">
        <v>65</v>
      </c>
      <c r="B48" s="3" t="s">
        <v>17</v>
      </c>
      <c r="C48" s="11">
        <v>1</v>
      </c>
      <c r="D48" s="11" t="s">
        <v>15</v>
      </c>
      <c r="E48" s="12" t="s">
        <v>60</v>
      </c>
      <c r="G48" s="12"/>
      <c r="I48" s="3"/>
    </row>
    <row r="49" spans="1:9" ht="31.2" x14ac:dyDescent="0.3">
      <c r="A49" s="3" t="s">
        <v>140</v>
      </c>
      <c r="B49" s="3" t="s">
        <v>18</v>
      </c>
      <c r="C49" s="11">
        <v>1</v>
      </c>
      <c r="D49" s="11" t="s">
        <v>15</v>
      </c>
      <c r="E49" s="9" t="s">
        <v>62</v>
      </c>
      <c r="G49" s="12"/>
      <c r="H49" s="12"/>
      <c r="I49" s="5" t="s">
        <v>76</v>
      </c>
    </row>
    <row r="50" spans="1:9" x14ac:dyDescent="0.3">
      <c r="A50" s="3" t="s">
        <v>141</v>
      </c>
      <c r="B50" s="3" t="s">
        <v>19</v>
      </c>
      <c r="C50" s="11">
        <v>1</v>
      </c>
      <c r="D50" s="11" t="s">
        <v>15</v>
      </c>
      <c r="E50" s="9" t="s">
        <v>60</v>
      </c>
      <c r="I50" s="3"/>
    </row>
    <row r="51" spans="1:9" ht="31.2" x14ac:dyDescent="0.3">
      <c r="A51" s="3" t="s">
        <v>142</v>
      </c>
      <c r="B51" s="3" t="s">
        <v>20</v>
      </c>
      <c r="C51" s="11">
        <v>1</v>
      </c>
      <c r="D51" s="11" t="s">
        <v>15</v>
      </c>
      <c r="E51" s="9" t="s">
        <v>62</v>
      </c>
      <c r="I51" s="5" t="s">
        <v>78</v>
      </c>
    </row>
    <row r="52" spans="1:9" x14ac:dyDescent="0.3">
      <c r="A52" s="3" t="s">
        <v>143</v>
      </c>
      <c r="B52" s="3" t="s">
        <v>63</v>
      </c>
      <c r="C52" s="11">
        <v>1</v>
      </c>
      <c r="D52" s="11" t="s">
        <v>15</v>
      </c>
      <c r="E52" s="9" t="s">
        <v>60</v>
      </c>
      <c r="I52" s="3" t="s">
        <v>74</v>
      </c>
    </row>
    <row r="53" spans="1:9" x14ac:dyDescent="0.3">
      <c r="A53" s="3" t="s">
        <v>144</v>
      </c>
      <c r="B53" s="3" t="s">
        <v>21</v>
      </c>
      <c r="C53" s="11">
        <v>1</v>
      </c>
      <c r="D53" s="11" t="s">
        <v>15</v>
      </c>
      <c r="E53" s="9" t="s">
        <v>60</v>
      </c>
      <c r="I53" s="3" t="s">
        <v>79</v>
      </c>
    </row>
    <row r="54" spans="1:9" x14ac:dyDescent="0.3">
      <c r="A54" s="3" t="s">
        <v>145</v>
      </c>
      <c r="B54" s="3" t="s">
        <v>64</v>
      </c>
      <c r="C54" s="11">
        <v>1</v>
      </c>
      <c r="D54" s="11" t="s">
        <v>15</v>
      </c>
      <c r="E54" s="9" t="s">
        <v>60</v>
      </c>
      <c r="I54" s="3"/>
    </row>
    <row r="55" spans="1:9" x14ac:dyDescent="0.3">
      <c r="A55" s="3" t="s">
        <v>146</v>
      </c>
      <c r="B55" s="3" t="s">
        <v>22</v>
      </c>
      <c r="C55" s="11">
        <v>1</v>
      </c>
      <c r="D55" s="11" t="s">
        <v>15</v>
      </c>
      <c r="E55" s="9" t="s">
        <v>60</v>
      </c>
      <c r="I55" s="3" t="s">
        <v>75</v>
      </c>
    </row>
    <row r="56" spans="1:9" x14ac:dyDescent="0.3">
      <c r="A56" s="3" t="s">
        <v>147</v>
      </c>
      <c r="B56" s="3" t="s">
        <v>23</v>
      </c>
      <c r="C56" s="11">
        <v>1</v>
      </c>
      <c r="D56" s="11" t="s">
        <v>15</v>
      </c>
      <c r="E56" s="9" t="s">
        <v>60</v>
      </c>
      <c r="I56" s="3" t="s">
        <v>77</v>
      </c>
    </row>
    <row r="58" spans="1:9" x14ac:dyDescent="0.3">
      <c r="E58" s="16" t="s">
        <v>138</v>
      </c>
    </row>
    <row r="60" spans="1:9" x14ac:dyDescent="0.3">
      <c r="A60" s="2" t="s">
        <v>114</v>
      </c>
    </row>
    <row r="61" spans="1:9" x14ac:dyDescent="0.3">
      <c r="A61" s="2" t="s">
        <v>8</v>
      </c>
      <c r="B61" s="2" t="s">
        <v>0</v>
      </c>
      <c r="C61" s="10" t="s">
        <v>6</v>
      </c>
      <c r="D61" s="10" t="s">
        <v>13</v>
      </c>
      <c r="I61" s="2" t="s">
        <v>80</v>
      </c>
    </row>
    <row r="62" spans="1:9" x14ac:dyDescent="0.3">
      <c r="A62" s="3" t="s">
        <v>148</v>
      </c>
      <c r="B62" s="3" t="s">
        <v>112</v>
      </c>
      <c r="C62" s="11">
        <v>1</v>
      </c>
      <c r="D62" s="11" t="s">
        <v>15</v>
      </c>
      <c r="I62" s="3" t="s">
        <v>150</v>
      </c>
    </row>
  </sheetData>
  <phoneticPr fontId="4" type="noConversion"/>
  <pageMargins left="0.7" right="0.7" top="0.75" bottom="0.7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CCC6-1F84-4A66-959B-7C288A2FAC0D}">
  <dimension ref="A1:C2"/>
  <sheetViews>
    <sheetView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45.33203125" customWidth="1"/>
    <col min="3" max="3" width="10.33203125" bestFit="1" customWidth="1"/>
  </cols>
  <sheetData>
    <row r="1" spans="1:3" x14ac:dyDescent="0.3">
      <c r="A1" s="7" t="s">
        <v>13</v>
      </c>
      <c r="B1" s="7" t="s">
        <v>12</v>
      </c>
      <c r="C1" s="7" t="s">
        <v>11</v>
      </c>
    </row>
    <row r="2" spans="1:3" x14ac:dyDescent="0.3">
      <c r="A2" t="s">
        <v>15</v>
      </c>
      <c r="B2" t="s">
        <v>14</v>
      </c>
      <c r="C2" s="6">
        <v>45763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cure BOM</vt:lpstr>
      <vt:lpstr>revision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2025-01-22T15:31:26Z</cp:lastPrinted>
  <dcterms:created xsi:type="dcterms:W3CDTF">2025-01-22T15:31:26Z</dcterms:created>
  <dcterms:modified xsi:type="dcterms:W3CDTF">2025-04-20T07:04:09Z</dcterms:modified>
  <cp:category/>
</cp:coreProperties>
</file>